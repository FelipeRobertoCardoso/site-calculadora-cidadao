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_cardoso152\Downloads\"/>
    </mc:Choice>
  </mc:AlternateContent>
  <xr:revisionPtr revIDLastSave="0" documentId="13_ncr:1_{92D54683-0A17-4AC9-818C-E7443EA87380}" xr6:coauthVersionLast="47" xr6:coauthVersionMax="47" xr10:uidLastSave="{00000000-0000-0000-0000-000000000000}"/>
  <bookViews>
    <workbookView xWindow="15150" yWindow="1020" windowWidth="12930" windowHeight="13755" xr2:uid="{7EE59C93-F576-4458-9F1E-D61EC27958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  <c r="J13" i="1"/>
  <c r="J11" i="1"/>
  <c r="F11" i="1"/>
</calcChain>
</file>

<file path=xl/sharedStrings.xml><?xml version="1.0" encoding="utf-8"?>
<sst xmlns="http://schemas.openxmlformats.org/spreadsheetml/2006/main" count="16" uniqueCount="12">
  <si>
    <t>Aplicação com depósitos regulares</t>
  </si>
  <si>
    <t>Número de meses:</t>
  </si>
  <si>
    <t>Taxa de juros mensal:</t>
  </si>
  <si>
    <t>Valor do depósito regular:</t>
  </si>
  <si>
    <t>Valor obtido no final:</t>
  </si>
  <si>
    <t>Financiamento com prestações fixas</t>
  </si>
  <si>
    <t>Valor futuro de capital</t>
  </si>
  <si>
    <t>Taxas de juro mensal:</t>
  </si>
  <si>
    <t>Capital atual:</t>
  </si>
  <si>
    <t>Valor da prestação:</t>
  </si>
  <si>
    <t>Valor financiado: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</si>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</sst>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3" fillId="3" borderId="2" xfId="0" applyFont="1" applyFill="1" applyBorder="1"/>
    <xf numFmtId="0" fontId="4" fillId="3" borderId="2" xfId="0" applyFont="1" applyFill="1" applyBorder="1" applyAlignment="1">
      <alignment horizontal="center"/>
    </xf>
    <xf numFmtId="1" fontId="3" fillId="3" borderId="2" xfId="1" applyNumberFormat="1" applyFont="1" applyFill="1" applyBorder="1" applyAlignment="1">
      <alignment horizontal="center"/>
    </xf>
    <xf numFmtId="9" fontId="3" fillId="3" borderId="2" xfId="3" applyFont="1" applyFill="1" applyBorder="1" applyAlignment="1">
      <alignment horizontal="center"/>
    </xf>
    <xf numFmtId="2" fontId="3" fillId="3" borderId="2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6" fontId="1" fillId="3" borderId="3" xfId="2" applyNumberFormat="1" applyFont="1" applyFill="1" applyBorder="1" applyAlignment="1">
      <alignment horizontal="center"/>
    </xf>
    <xf numFmtId="166" fontId="1" fillId="3" borderId="3" xfId="0" applyNumberFormat="1" applyFont="1" applyFill="1" applyBorder="1" applyAlignment="1">
      <alignment horizontal="center"/>
    </xf>
    <xf numFmtId="166" fontId="1" fillId="3" borderId="2" xfId="2" applyNumberFormat="1" applyFon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6">
    <dxf>
      <font>
        <b/>
        <i val="0"/>
        <color theme="6"/>
      </font>
    </dxf>
    <dxf>
      <font>
        <b/>
        <i val="0"/>
        <color theme="6"/>
      </font>
    </dxf>
    <dxf>
      <font>
        <color rgb="FF9C0006"/>
      </font>
    </dxf>
    <dxf>
      <font>
        <color rgb="FF9C0006"/>
      </font>
    </dxf>
    <dxf>
      <font>
        <b/>
        <i val="0"/>
        <color theme="6"/>
      </font>
    </dxf>
    <dxf>
      <font>
        <b/>
        <i val="0"/>
        <color theme="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1D73-969B-41F0-8542-058EE8108AAF}">
  <dimension ref="B1:J17"/>
  <sheetViews>
    <sheetView tabSelected="1" topLeftCell="F1" zoomScale="115" zoomScaleNormal="115" workbookViewId="0">
      <selection activeCell="B20" sqref="B20"/>
    </sheetView>
  </sheetViews>
  <sheetFormatPr defaultRowHeight="15" x14ac:dyDescent="0.25"/>
  <cols>
    <col min="2" max="2" width="34.140625" customWidth="1"/>
    <col min="6" max="6" width="34.140625" style="1" customWidth="1"/>
    <col min="10" max="10" width="34.140625" customWidth="1"/>
  </cols>
  <sheetData>
    <row r="1" spans="2:10" x14ac:dyDescent="0.25">
      <c r="B1" s="1"/>
      <c r="J1" s="1"/>
    </row>
    <row r="2" spans="2:10" x14ac:dyDescent="0.25">
      <c r="B2" s="8" t="s">
        <v>0</v>
      </c>
      <c r="F2" s="15" t="s">
        <v>6</v>
      </c>
      <c r="J2" s="8" t="s">
        <v>5</v>
      </c>
    </row>
    <row r="3" spans="2:10" x14ac:dyDescent="0.25">
      <c r="B3" s="3"/>
      <c r="F3" s="9"/>
      <c r="J3" s="9"/>
    </row>
    <row r="4" spans="2:10" x14ac:dyDescent="0.25">
      <c r="B4" s="4" t="s">
        <v>1</v>
      </c>
      <c r="F4" s="4" t="s">
        <v>1</v>
      </c>
      <c r="J4" s="4" t="s">
        <v>1</v>
      </c>
    </row>
    <row r="5" spans="2:10" x14ac:dyDescent="0.25">
      <c r="B5" s="5">
        <v>20</v>
      </c>
      <c r="F5" s="9">
        <v>20</v>
      </c>
      <c r="J5" s="9">
        <v>20</v>
      </c>
    </row>
    <row r="6" spans="2:10" x14ac:dyDescent="0.25">
      <c r="B6" s="4" t="s">
        <v>2</v>
      </c>
      <c r="F6" s="4" t="s">
        <v>7</v>
      </c>
      <c r="J6" s="4" t="s">
        <v>7</v>
      </c>
    </row>
    <row r="7" spans="2:10" x14ac:dyDescent="0.25">
      <c r="B7" s="6">
        <v>1</v>
      </c>
      <c r="F7" s="6">
        <v>1</v>
      </c>
      <c r="J7" s="6">
        <v>1</v>
      </c>
    </row>
    <row r="8" spans="2:10" x14ac:dyDescent="0.25">
      <c r="B8" s="4" t="s">
        <v>3</v>
      </c>
      <c r="F8" s="4" t="s">
        <v>8</v>
      </c>
      <c r="J8" s="4" t="s">
        <v>9</v>
      </c>
    </row>
    <row r="9" spans="2:10" x14ac:dyDescent="0.25">
      <c r="B9" s="7">
        <v>2400</v>
      </c>
      <c r="F9" s="9">
        <v>2400</v>
      </c>
      <c r="I9" s="2"/>
      <c r="J9" s="9">
        <v>800</v>
      </c>
    </row>
    <row r="10" spans="2:10" x14ac:dyDescent="0.25">
      <c r="B10" s="4" t="s">
        <v>4</v>
      </c>
      <c r="F10" s="4" t="s">
        <v>4</v>
      </c>
      <c r="J10" s="4" t="s">
        <v>10</v>
      </c>
    </row>
    <row r="11" spans="2:10" x14ac:dyDescent="0.25">
      <c r="B11" s="10">
        <f>(1 + B7) * ((1+B7)^B5 - 1) / B7 * B9</f>
        <v>5033160000</v>
      </c>
      <c r="F11" s="11">
        <f>(1 + F7)^F5 * F9</f>
        <v>2516582400</v>
      </c>
      <c r="J11" s="12">
        <f>(((1-(1+J7)^-J5))/J7)*J9</f>
        <v>799.99923706054688</v>
      </c>
    </row>
    <row r="12" spans="2:10" x14ac:dyDescent="0.25">
      <c r="B12" s="2"/>
      <c r="J12" s="14" t="s">
        <v>11</v>
      </c>
    </row>
    <row r="13" spans="2:10" x14ac:dyDescent="0.25">
      <c r="B13" s="2"/>
      <c r="J13" s="13">
        <f>J5 * J9</f>
        <v>16000</v>
      </c>
    </row>
    <row r="14" spans="2:10" x14ac:dyDescent="0.25">
      <c r="J14" s="1"/>
    </row>
    <row r="15" spans="2:10" x14ac:dyDescent="0.25">
      <c r="J15" s="1"/>
    </row>
    <row r="16" spans="2:10" x14ac:dyDescent="0.25">
      <c r="J16" s="1"/>
    </row>
    <row r="17" spans="10:10" x14ac:dyDescent="0.25">
      <c r="J17" s="1"/>
    </row>
  </sheetData>
  <conditionalFormatting sqref="B11 F11 J11">
    <cfRule type="cellIs" dxfId="2" priority="2" operator="lessThan">
      <formula>0</formula>
    </cfRule>
    <cfRule type="cellIs" dxfId="1" priority="3" operator="greaterThan">
      <formula>0</formula>
    </cfRule>
  </conditionalFormatting>
  <conditionalFormatting sqref="J13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ROBERTO CARDOSO</dc:creator>
  <cp:lastModifiedBy>FELIPE ROBERTO CARDOSO</cp:lastModifiedBy>
  <dcterms:created xsi:type="dcterms:W3CDTF">2025-10-31T16:50:52Z</dcterms:created>
  <dcterms:modified xsi:type="dcterms:W3CDTF">2025-10-31T18:52:51Z</dcterms:modified>
</cp:coreProperties>
</file>